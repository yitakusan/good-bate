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0480" activeTab="1"/>
  </bookViews>
  <sheets>
    <sheet name="inv" sheetId="1" r:id="rId1"/>
    <sheet name="PACKING LIST 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<sst xmlns="http://schemas.openxmlformats.org/spreadsheetml/2006/main" count="86" uniqueCount="65">
  <si>
    <r>
      <rPr>
        <b/>
        <sz val="18"/>
        <rFont val="Times New Roman"/>
        <charset val="134"/>
      </rPr>
      <t xml:space="preserve"> ***</t>
    </r>
    <r>
      <rPr>
        <b/>
        <sz val="18"/>
        <rFont val="Yu Gothic Light"/>
        <charset val="134"/>
      </rPr>
      <t>　</t>
    </r>
    <r>
      <rPr>
        <b/>
        <sz val="18"/>
        <rFont val="Times New Roman"/>
        <charset val="134"/>
      </rPr>
      <t>INVOICE</t>
    </r>
    <r>
      <rPr>
        <b/>
        <sz val="18"/>
        <rFont val="Yu Gothic Light"/>
        <charset val="134"/>
      </rPr>
      <t>　</t>
    </r>
    <r>
      <rPr>
        <b/>
        <sz val="18"/>
        <rFont val="Times New Roman"/>
        <charset val="134"/>
      </rPr>
      <t>***</t>
    </r>
  </si>
  <si>
    <t>Shipper         
Company name: FIT CO.,LTD
Address: RM.901, WAKOREKANAMECHO BLDG, 11-2 NAKAMARUCHO, ITABASHI-KU, TOKYO, JAPAN
Postcode:173-0026
Phone:03-6914-0602
0133-01-038238</t>
  </si>
  <si>
    <t>Date</t>
  </si>
  <si>
    <t>2026-06-30</t>
  </si>
  <si>
    <t xml:space="preserve">consignee 
WING TUNG EXPRESS LIMITED
FLAT 3-B,13/F CABLE TV TOWER,
9 HOI SHING ROAD TSUEN WAN, NEW TERRITORIES 
PIC：  陳生
Phone:9623 0753 
Postcode:999077  
入仓号：A891 </t>
  </si>
  <si>
    <t>INVOICE NO.</t>
  </si>
  <si>
    <t>202606/30FIT14-72</t>
  </si>
  <si>
    <t>Port of Loading</t>
  </si>
  <si>
    <t>TOKYO</t>
  </si>
  <si>
    <t>G.Total</t>
  </si>
  <si>
    <t>Port of Discharge</t>
  </si>
  <si>
    <t>HONGKONG</t>
  </si>
  <si>
    <t>Mode of TPT</t>
  </si>
  <si>
    <t>AVIATION</t>
  </si>
  <si>
    <t>Vessel / Voy .</t>
  </si>
  <si>
    <t>Term</t>
  </si>
  <si>
    <t>CIF</t>
  </si>
  <si>
    <t>Product Code</t>
  </si>
  <si>
    <t>Classify</t>
  </si>
  <si>
    <t>CO</t>
  </si>
  <si>
    <t>QTY</t>
  </si>
  <si>
    <t>UNIT</t>
  </si>
  <si>
    <t>UNIT PRICE</t>
  </si>
  <si>
    <t>S.TOTAL</t>
  </si>
  <si>
    <t>4582770123210</t>
  </si>
  <si>
    <t>Figure</t>
  </si>
  <si>
    <t>China</t>
  </si>
  <si>
    <t>piece</t>
  </si>
  <si>
    <t>4582770123197</t>
  </si>
  <si>
    <t>4582770123203</t>
  </si>
  <si>
    <t>4532149025386</t>
  </si>
  <si>
    <t>4532149025270</t>
  </si>
  <si>
    <t>[ PACKING LIST ]</t>
  </si>
  <si>
    <t>DATE</t>
  </si>
  <si>
    <t>INVOICE NUMBER</t>
  </si>
  <si>
    <t>202607/17FIT15-18</t>
  </si>
  <si>
    <t>TO.</t>
  </si>
  <si>
    <t>FROM.</t>
  </si>
  <si>
    <t xml:space="preserve">WING TUNG EXPRESS LIMITED
FLAT 3-B,13/F CABLE TV TOWER,
9 HOI SHING ROAD TSUEN WAN, NEW TERRITORIES 
PIC：  陳生
Phone:9623 0753 
Postcode:999077  
入仓号：A891 </t>
  </si>
  <si>
    <t>FIT CO.,LTD
Address: RM.901, WAKOREKANAMECHO BLDG, 11-2 NAKAMARUCHO, ITABASHI-KU, TOKYO, JAPAN
Postcode:173-0026
Phone:03-6914-0602
0133-01-038238</t>
  </si>
  <si>
    <t>Port of Loading:</t>
  </si>
  <si>
    <t>No. and date of L/C</t>
  </si>
  <si>
    <t>Remarks:</t>
  </si>
  <si>
    <t>N/A</t>
  </si>
  <si>
    <t>N/M</t>
  </si>
  <si>
    <t>Final Destination:</t>
  </si>
  <si>
    <t>L/C Issuing bank</t>
  </si>
  <si>
    <t>HONGKONG, CHINA</t>
  </si>
  <si>
    <t>Carrier</t>
  </si>
  <si>
    <t>Sailing on or about</t>
  </si>
  <si>
    <t>TBD</t>
  </si>
  <si>
    <t>Packing  No.</t>
  </si>
  <si>
    <t>COMMODITY DESCRIPTION</t>
  </si>
  <si>
    <t>QUANTITY</t>
  </si>
  <si>
    <t>N.WEIGHT</t>
  </si>
  <si>
    <t>G.WEIGHT</t>
  </si>
  <si>
    <t>CBM</t>
  </si>
  <si>
    <t>XG2607-01</t>
  </si>
  <si>
    <t>37*27*16</t>
  </si>
  <si>
    <t>XG2607-02</t>
  </si>
  <si>
    <t>54*48*34</t>
  </si>
  <si>
    <t>XG2607-03</t>
  </si>
  <si>
    <t>XJ2606-02</t>
  </si>
  <si>
    <t>70*55*37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</si>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</sst>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&quot; PCS&quot;"/>
    <numFmt numFmtId="179" formatCode="0.00&quot; KGS&quot;"/>
    <numFmt numFmtId="180" formatCode="0&quot; EA&quot;"/>
    <numFmt numFmtId="181" formatCode="&quot;\&quot;#,##0&quot; &quot;;&quot;(¥&quot;#,##0\)"/>
    <numFmt numFmtId="182" formatCode="\¥#,##0;[Red]\¥#,##0"/>
  </numFmts>
  <fonts count="40">
    <font>
      <sz val="10"/>
      <color theme="1"/>
      <name val="ＭＳ 明朝"/>
      <charset val="134"/>
    </font>
    <font>
      <sz val="11"/>
      <color theme="1"/>
      <name val="等线"/>
      <charset val="134"/>
      <scheme val="minor"/>
    </font>
    <font>
      <sz val="8"/>
      <color rgb="FF000000"/>
      <name val="等线"/>
      <charset val="128"/>
    </font>
    <font>
      <b/>
      <sz val="18"/>
      <color rgb="FF000000"/>
      <name val="Times New Roman"/>
      <charset val="134"/>
    </font>
    <font>
      <b/>
      <sz val="18"/>
      <color rgb="FF000000"/>
      <name val="等线"/>
      <charset val="128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9.75"/>
      <color theme="1"/>
      <name val="Arial Unicode MS"/>
      <charset val="134"/>
    </font>
    <font>
      <b/>
      <sz val="18"/>
      <name val="Times New Roman"/>
      <charset val="134"/>
    </font>
    <font>
      <sz val="12"/>
      <name val="Times New Roman"/>
      <charset val="134"/>
    </font>
    <font>
      <sz val="12"/>
      <name val="DengXian"/>
      <charset val="134"/>
    </font>
    <font>
      <sz val="10"/>
      <color theme="1"/>
      <name val="Microsoft YaHei"/>
      <charset val="134"/>
    </font>
    <font>
      <sz val="9.8"/>
      <color rgb="FF000000"/>
      <name val="Arial Unicode MS"/>
      <charset val="134"/>
    </font>
    <font>
      <sz val="12"/>
      <color theme="1"/>
      <name val="游ゴシック"/>
      <charset val="128"/>
    </font>
    <font>
      <sz val="9.75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28"/>
      <scheme val="minor"/>
    </font>
    <font>
      <sz val="11"/>
      <name val="ＭＳ Ｐゴシック"/>
      <charset val="128"/>
    </font>
    <font>
      <sz val="11"/>
      <color indexed="8"/>
      <name val="等线"/>
      <charset val="134"/>
      <scheme val="minor"/>
    </font>
    <font>
      <sz val="10"/>
      <color theme="1"/>
      <name val="ＭＳ 明朝"/>
      <charset val="128"/>
    </font>
    <font>
      <sz val="10"/>
      <name val="ＭＳ 明朝"/>
      <charset val="128"/>
    </font>
    <font>
      <b/>
      <sz val="18"/>
      <name val="Yu Gothic Light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3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13" applyNumberFormat="0" applyAlignment="0" applyProtection="0">
      <alignment vertical="center"/>
    </xf>
    <xf numFmtId="0" fontId="24" fillId="5" borderId="14" applyNumberFormat="0" applyAlignment="0" applyProtection="0">
      <alignment vertical="center"/>
    </xf>
    <xf numFmtId="0" fontId="25" fillId="5" borderId="13" applyNumberFormat="0" applyAlignment="0" applyProtection="0">
      <alignment vertical="center"/>
    </xf>
    <xf numFmtId="0" fontId="26" fillId="6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5" fillId="0" borderId="0">
      <alignment vertical="center"/>
    </xf>
    <xf numFmtId="0" fontId="0" fillId="0" borderId="0">
      <alignment vertical="center"/>
    </xf>
    <xf numFmtId="0" fontId="3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38" fillId="0" borderId="0">
      <alignment horizontal="center" vertical="center"/>
    </xf>
    <xf numFmtId="0" fontId="1" fillId="0" borderId="0"/>
    <xf numFmtId="0" fontId="1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61" applyFont="1" applyFill="1" applyBorder="1"/>
    <xf numFmtId="0" fontId="2" fillId="0" borderId="2" xfId="61" applyFont="1" applyFill="1" applyBorder="1"/>
    <xf numFmtId="0" fontId="3" fillId="0" borderId="0" xfId="61" applyFont="1" applyFill="1" applyAlignment="1">
      <alignment horizontal="center"/>
    </xf>
    <xf numFmtId="0" fontId="3" fillId="0" borderId="3" xfId="61" applyFont="1" applyFill="1" applyBorder="1" applyAlignment="1">
      <alignment horizontal="center"/>
    </xf>
    <xf numFmtId="0" fontId="4" fillId="0" borderId="0" xfId="61" applyFont="1" applyFill="1" applyAlignment="1">
      <alignment horizontal="center"/>
    </xf>
    <xf numFmtId="0" fontId="5" fillId="0" borderId="0" xfId="61" applyFont="1" applyFill="1" applyAlignment="1">
      <alignment horizontal="center"/>
    </xf>
    <xf numFmtId="0" fontId="5" fillId="0" borderId="3" xfId="61" applyFont="1" applyFill="1" applyBorder="1" applyAlignment="1">
      <alignment horizontal="center"/>
    </xf>
    <xf numFmtId="0" fontId="2" fillId="0" borderId="0" xfId="61" applyFont="1" applyFill="1"/>
    <xf numFmtId="0" fontId="5" fillId="0" borderId="4" xfId="61" applyFont="1" applyFill="1" applyBorder="1"/>
    <xf numFmtId="14" fontId="5" fillId="2" borderId="5" xfId="61" applyNumberFormat="1" applyFont="1" applyFill="1" applyBorder="1"/>
    <xf numFmtId="0" fontId="5" fillId="2" borderId="5" xfId="61" applyFont="1" applyFill="1" applyBorder="1" applyAlignment="1">
      <alignment horizontal="right"/>
    </xf>
    <xf numFmtId="0" fontId="5" fillId="0" borderId="6" xfId="61" applyFont="1" applyFill="1" applyBorder="1" applyAlignment="1">
      <alignment horizontal="left" vertical="center"/>
    </xf>
    <xf numFmtId="0" fontId="5" fillId="0" borderId="4" xfId="61" applyFont="1" applyFill="1" applyBorder="1" applyAlignment="1">
      <alignment horizontal="left" vertical="center"/>
    </xf>
    <xf numFmtId="0" fontId="6" fillId="0" borderId="4" xfId="61" applyFont="1" applyFill="1" applyBorder="1"/>
    <xf numFmtId="0" fontId="5" fillId="0" borderId="5" xfId="61" applyFont="1" applyFill="1" applyBorder="1" applyAlignment="1">
      <alignment horizontal="center"/>
    </xf>
    <xf numFmtId="0" fontId="5" fillId="0" borderId="7" xfId="61" applyFont="1" applyFill="1" applyBorder="1" applyAlignment="1">
      <alignment horizontal="center" vertical="center" wrapText="1"/>
    </xf>
    <xf numFmtId="0" fontId="5" fillId="0" borderId="8" xfId="61" applyFont="1" applyFill="1" applyBorder="1" applyAlignment="1">
      <alignment horizontal="center" vertical="center" wrapText="1"/>
    </xf>
    <xf numFmtId="0" fontId="5" fillId="0" borderId="8" xfId="61" applyFont="1" applyFill="1" applyBorder="1" applyAlignment="1">
      <alignment horizontal="left" vertical="center"/>
    </xf>
    <xf numFmtId="0" fontId="5" fillId="0" borderId="5" xfId="61" applyFont="1" applyFill="1" applyBorder="1" applyAlignment="1">
      <alignment horizontal="center" vertical="center" wrapText="1"/>
    </xf>
    <xf numFmtId="0" fontId="5" fillId="0" borderId="8" xfId="61" applyFont="1" applyFill="1" applyBorder="1" applyAlignment="1">
      <alignment horizontal="center" vertical="center"/>
    </xf>
    <xf numFmtId="49" fontId="7" fillId="0" borderId="9" xfId="0" applyNumberFormat="1" applyFont="1" applyFill="1" applyBorder="1" applyAlignment="1">
      <alignment horizontal="left" vertical="center" wrapText="1"/>
    </xf>
    <xf numFmtId="0" fontId="6" fillId="0" borderId="8" xfId="61" applyFont="1" applyFill="1" applyBorder="1" applyAlignment="1">
      <alignment horizontal="center"/>
    </xf>
    <xf numFmtId="178" fontId="5" fillId="0" borderId="8" xfId="4" applyNumberFormat="1" applyFont="1" applyFill="1" applyBorder="1" applyAlignment="1" applyProtection="1"/>
    <xf numFmtId="179" fontId="6" fillId="0" borderId="8" xfId="4" applyNumberFormat="1" applyFont="1" applyFill="1" applyBorder="1" applyAlignment="1" applyProtection="1">
      <alignment horizontal="center"/>
    </xf>
    <xf numFmtId="179" fontId="5" fillId="0" borderId="8" xfId="4" applyNumberFormat="1" applyFont="1" applyFill="1" applyBorder="1" applyAlignment="1" applyProtection="1">
      <alignment horizontal="center"/>
    </xf>
    <xf numFmtId="180" fontId="5" fillId="0" borderId="8" xfId="4" applyNumberFormat="1" applyFont="1" applyFill="1" applyBorder="1" applyAlignment="1" applyProtection="1">
      <alignment horizontal="center"/>
    </xf>
    <xf numFmtId="0" fontId="5" fillId="0" borderId="0" xfId="61" applyFont="1" applyFill="1" applyAlignment="1">
      <alignment horizontal="center" wrapText="1"/>
    </xf>
    <xf numFmtId="0" fontId="5" fillId="0" borderId="3" xfId="61" applyFont="1" applyFill="1" applyBorder="1" applyAlignment="1">
      <alignment horizontal="center" wrapText="1"/>
    </xf>
    <xf numFmtId="49" fontId="8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181" fontId="9" fillId="0" borderId="8" xfId="0" applyNumberFormat="1" applyFont="1" applyBorder="1" applyAlignment="1">
      <alignment horizontal="center" vertical="center" wrapText="1"/>
    </xf>
    <xf numFmtId="49" fontId="9" fillId="0" borderId="8" xfId="53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8" xfId="53" applyFont="1" applyBorder="1" applyAlignment="1">
      <alignment horizontal="center" vertical="center"/>
    </xf>
    <xf numFmtId="0" fontId="9" fillId="0" borderId="8" xfId="53" applyFont="1" applyBorder="1" applyAlignment="1">
      <alignment horizontal="center" vertical="center"/>
    </xf>
    <xf numFmtId="0" fontId="11" fillId="0" borderId="0" xfId="0" applyFont="1">
      <alignment vertical="center"/>
    </xf>
    <xf numFmtId="0" fontId="9" fillId="0" borderId="8" xfId="0" applyFont="1" applyBorder="1" applyAlignment="1">
      <alignment horizontal="center" vertical="top" wrapText="1"/>
    </xf>
    <xf numFmtId="49" fontId="9" fillId="0" borderId="0" xfId="0" applyNumberFormat="1" applyFont="1" applyAlignment="1">
      <alignment horizontal="center" vertical="center" wrapText="1" readingOrder="1"/>
    </xf>
    <xf numFmtId="49" fontId="12" fillId="0" borderId="9" xfId="0" applyNumberFormat="1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left" vertical="center"/>
    </xf>
    <xf numFmtId="49" fontId="10" fillId="0" borderId="8" xfId="0" applyNumberFormat="1" applyFont="1" applyBorder="1" applyAlignment="1">
      <alignment horizontal="center" vertical="center" wrapText="1" readingOrder="1"/>
    </xf>
    <xf numFmtId="182" fontId="9" fillId="0" borderId="8" xfId="0" applyNumberFormat="1" applyFont="1" applyBorder="1" applyAlignment="1">
      <alignment horizontal="center" vertical="center" wrapText="1"/>
    </xf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常规 2" xfId="50"/>
    <cellStyle name="常规 2 2" xfId="51"/>
    <cellStyle name="常规 2 3" xfId="52"/>
    <cellStyle name="常规 25 2" xfId="53"/>
    <cellStyle name="常规 3" xfId="54"/>
    <cellStyle name="常规 4" xfId="55"/>
    <cellStyle name="常规 5" xfId="56"/>
    <cellStyle name="常规 6" xfId="57"/>
    <cellStyle name="常规 7" xfId="58"/>
    <cellStyle name="常规 8" xfId="59"/>
    <cellStyle name="日文发票文字样式" xfId="60"/>
    <cellStyle name="표준 2" xfId="61"/>
    <cellStyle name="常规 9" xfId="62"/>
  </cellStyles>
  <dxfs count="2">
    <dxf>
      <font>
        <color rgb="FFFF0000"/>
      </font>
    </dxf>
    <dxf>
      <fill>
        <patternFill patternType="solid">
          <bgColor rgb="FFEBF1DE"/>
        </patternFill>
      </fill>
    </dxf>
  </dxfs>
  <tableStyles count="0" defaultTableStyle="TableStyleMedium2" defaultPivotStyle="PivotStyleLight16"/>
  <colors>
    <mruColors>
      <color rgb="00EBF1D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2"/>
  <sheetViews>
    <sheetView zoomScale="85" zoomScaleNormal="85" workbookViewId="0">
      <selection activeCell="I8" sqref="I8"/>
    </sheetView>
  </sheetViews>
  <sheetFormatPr defaultColWidth="9" defaultRowHeight="12"/>
  <cols>
    <col min="1" max="1" width="17.71" customWidth="1"/>
    <col min="2" max="2" width="17.86" customWidth="1"/>
    <col min="3" max="3" width="26.57" customWidth="1"/>
    <col min="4" max="4" width="10.57" customWidth="1"/>
    <col min="5" max="5" width="10.14" customWidth="1"/>
    <col min="6" max="7" width="14.29" customWidth="1"/>
    <col min="8" max="8" width="27.29" customWidth="1"/>
  </cols>
  <sheetData>
    <row r="1" ht="66" customHeight="1" spans="1:10">
      <c r="A1" s="30" t="s">
        <v>0</v>
      </c>
      <c r="B1" s="31"/>
      <c r="C1" s="31"/>
      <c r="D1" s="31"/>
      <c r="E1" s="31"/>
      <c r="F1" s="31"/>
      <c r="G1" s="31"/>
    </row>
    <row r="2" ht="201.75" customHeight="1" spans="1:10">
      <c r="A2" s="32" t="s">
        <v>1</v>
      </c>
      <c r="B2" s="32"/>
      <c r="C2" s="33"/>
      <c r="D2" s="33" t="s">
        <v>2</v>
      </c>
      <c r="E2" s="34"/>
      <c r="F2" s="35" t="s">
        <v>3</v>
      </c>
      <c r="G2" s="35"/>
    </row>
    <row r="3" ht="183" customHeight="1" spans="1:10">
      <c r="A3" s="33" t="s">
        <v>4</v>
      </c>
      <c r="B3" s="33"/>
      <c r="C3" s="33"/>
      <c r="D3" s="36" t="s">
        <v>5</v>
      </c>
      <c r="E3" s="37"/>
      <c r="F3" s="38" t="s">
        <v>6</v>
      </c>
      <c r="G3" s="39"/>
      <c r="H3" s="40"/>
    </row>
    <row r="4" ht="24.95" customHeight="1" spans="1:10">
      <c r="A4" s="36" t="s">
        <v>7</v>
      </c>
      <c r="B4" s="33" t="s">
        <v>8</v>
      </c>
      <c r="C4" s="32"/>
      <c r="D4" s="36" t="s">
        <v>9</v>
      </c>
      <c r="E4" s="37"/>
      <c r="F4" s="38" t="s">
        <v>6</v>
      </c>
      <c r="G4" s="39"/>
    </row>
    <row r="5" ht="24.95" customHeight="1" spans="1:10">
      <c r="A5" s="36" t="s">
        <v>10</v>
      </c>
      <c r="B5" s="33" t="s">
        <v>11</v>
      </c>
      <c r="C5" s="32"/>
      <c r="D5" s="36" t="s">
        <v>12</v>
      </c>
      <c r="E5" s="37"/>
      <c r="F5" s="37" t="s">
        <v>13</v>
      </c>
      <c r="G5" s="37"/>
    </row>
    <row r="6" ht="24.95" customHeight="1" spans="1:10">
      <c r="A6" s="33" t="s">
        <v>14</v>
      </c>
      <c r="B6" s="32"/>
      <c r="C6" s="41"/>
      <c r="D6" s="36" t="s">
        <v>15</v>
      </c>
      <c r="E6" s="37"/>
      <c r="F6" s="37" t="s">
        <v>16</v>
      </c>
      <c r="G6" s="37"/>
      <c r="J6" s="42"/>
    </row>
    <row r="7" ht="24.95" customHeight="1" spans="1:10">
      <c r="A7" s="33" t="s">
        <v>17</v>
      </c>
      <c r="B7" s="33" t="s">
        <v>18</v>
      </c>
      <c r="C7" s="33" t="s">
        <v>19</v>
      </c>
      <c r="D7" s="33" t="s">
        <v>20</v>
      </c>
      <c r="E7" s="33" t="s">
        <v>21</v>
      </c>
      <c r="F7" s="33" t="s">
        <v>22</v>
      </c>
      <c r="G7" s="33" t="s">
        <v>23</v>
      </c>
    </row>
    <row r="8" ht="24.95" customHeight="1" spans="1:10">
      <c r="A8" s="43" t="s">
        <v>24</v>
      </c>
      <c r="B8" s="23" t="s">
        <v>25</v>
      </c>
      <c r="C8" s="44" t="s">
        <v>26</v>
      </c>
      <c r="D8" s="45">
        <v>3</v>
      </c>
      <c r="E8" s="46" t="s">
        <v>27</v>
      </c>
      <c r="F8" s="47">
        <v>1866</v>
      </c>
      <c r="G8" s="47">
        <f>D8*F8</f>
        <v>5598</v>
      </c>
    </row>
    <row r="9" ht="24.95" customHeight="1" spans="1:10">
      <c r="A9" s="43" t="s">
        <v>28</v>
      </c>
      <c r="B9" s="23" t="s">
        <v>25</v>
      </c>
      <c r="C9" s="44" t="s">
        <v>26</v>
      </c>
      <c r="D9" s="45">
        <v>2</v>
      </c>
      <c r="E9" s="46" t="s">
        <v>27</v>
      </c>
      <c r="F9" s="47">
        <v>1866</v>
      </c>
      <c r="G9" s="47">
        <f>D9*F9</f>
        <v>3732</v>
      </c>
    </row>
    <row r="10" ht="24.95" customHeight="1" spans="1:10">
      <c r="A10" s="43" t="s">
        <v>29</v>
      </c>
      <c r="B10" s="23" t="s">
        <v>25</v>
      </c>
      <c r="C10" s="44" t="s">
        <v>26</v>
      </c>
      <c r="D10" s="45">
        <v>5</v>
      </c>
      <c r="E10" s="46" t="s">
        <v>27</v>
      </c>
      <c r="F10" s="47">
        <v>1866</v>
      </c>
      <c r="G10" s="47">
        <f>D10*F10</f>
        <v>9330</v>
      </c>
    </row>
    <row r="11" ht="24.95" customHeight="1" spans="1:10">
      <c r="A11" s="43" t="s">
        <v>30</v>
      </c>
      <c r="B11" s="23" t="s">
        <v>25</v>
      </c>
      <c r="C11" s="44" t="s">
        <v>26</v>
      </c>
      <c r="D11" s="45">
        <v>4</v>
      </c>
      <c r="E11" s="46" t="s">
        <v>27</v>
      </c>
      <c r="F11" s="47">
        <v>35530</v>
      </c>
      <c r="G11" s="47">
        <f>D11*F11</f>
        <v>142120</v>
      </c>
    </row>
    <row r="12" ht="24.95" customHeight="1" spans="1:10">
      <c r="A12" s="43" t="s">
        <v>31</v>
      </c>
      <c r="B12" s="23" t="s">
        <v>25</v>
      </c>
      <c r="C12" s="44" t="s">
        <v>26</v>
      </c>
      <c r="D12" s="45">
        <v>4</v>
      </c>
      <c r="E12" s="46" t="s">
        <v>27</v>
      </c>
      <c r="F12" s="47">
        <v>37730</v>
      </c>
      <c r="G12" s="47">
        <f>D12*F12</f>
        <v>150920</v>
      </c>
    </row>
  </sheetData>
  <mergeCells count="14">
    <mergeCell ref="A1:G1"/>
    <mergeCell ref="A2:C2"/>
    <mergeCell ref="D2:E2"/>
    <mergeCell ref="F2:G2"/>
    <mergeCell ref="A3:C3"/>
    <mergeCell ref="D3:E3"/>
    <mergeCell ref="F3:G3"/>
    <mergeCell ref="D4:E4"/>
    <mergeCell ref="F4:G4"/>
    <mergeCell ref="D5:E5"/>
    <mergeCell ref="F5:G5"/>
    <mergeCell ref="A6:B6"/>
    <mergeCell ref="D6:E6"/>
    <mergeCell ref="F6:G6"/>
  </mergeCells>
  <conditionalFormatting sqref="D2:G2">
    <cfRule type="cellIs" dxfId="0" priority="61" stopIfTrue="1" operator="lessThan">
      <formula>0</formula>
    </cfRule>
  </conditionalFormatting>
  <conditionalFormatting sqref="J6">
    <cfRule type="cellIs" dxfId="0" priority="14" stopIfTrue="1" operator="lessThan">
      <formula>0</formula>
    </cfRule>
  </conditionalFormatting>
  <conditionalFormatting sqref="A8:A12">
    <cfRule type="cellIs" dxfId="0" priority="15" stopIfTrue="1" operator="lessThan">
      <formula>0</formula>
    </cfRule>
  </conditionalFormatting>
  <conditionalFormatting sqref="B4:B5">
    <cfRule type="cellIs" dxfId="0" priority="55" stopIfTrue="1" operator="lessThan">
      <formula>0</formula>
    </cfRule>
  </conditionalFormatting>
  <conditionalFormatting sqref="B8:B12">
    <cfRule type="notContainsErrors" dxfId="1" priority="10">
      <formula>NOT(ISERROR(B8))</formula>
    </cfRule>
  </conditionalFormatting>
  <conditionalFormatting sqref="F8:F12">
    <cfRule type="notContainsErrors" dxfId="1" priority="1">
      <formula>NOT(ISERROR(F8))</formula>
    </cfRule>
    <cfRule type="cellIs" dxfId="0" priority="2" stopIfTrue="1" operator="lessThan">
      <formula>0</formula>
    </cfRule>
    <cfRule type="cellIs" dxfId="0" priority="3" stopIfTrue="1" operator="lessThan">
      <formula>0</formula>
    </cfRule>
  </conditionalFormatting>
  <conditionalFormatting sqref="$A1:$XFD7 A8 C8:E8 G8:XFD8 A9:A12 C9:E12 G9:XFD12 $A13:$XFD1048576">
    <cfRule type="notContainsErrors" dxfId="1" priority="13">
      <formula>NOT(ISERROR(A1))</formula>
    </cfRule>
  </conditionalFormatting>
  <conditionalFormatting sqref="F7:G7 G8:G12">
    <cfRule type="cellIs" dxfId="0" priority="19" stopIfTrue="1" operator="lessThan">
      <formula>0</formula>
    </cfRule>
  </conditionalFormatting>
  <conditionalFormatting sqref="E8 G8 E9:E12 G9:G12">
    <cfRule type="cellIs" dxfId="0" priority="16" stopIfTrue="1" operator="lessThan">
      <formula>0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F37"/>
  <sheetViews>
    <sheetView tabSelected="1" workbookViewId="0">
      <selection activeCell="E29" sqref="E29"/>
    </sheetView>
  </sheetViews>
  <sheetFormatPr defaultColWidth="10.29" defaultRowHeight="14" outlineLevelCol="5"/>
  <cols>
    <col min="1" max="1" width="19.86" style="1" customWidth="1"/>
    <col min="2" max="2" width="27.14" style="1" customWidth="1"/>
    <col min="3" max="3" width="10.71" style="1" customWidth="1"/>
    <col min="4" max="4" width="16.57" style="1" customWidth="1"/>
    <col min="5" max="5" width="19.43" style="1" customWidth="1"/>
    <col min="6" max="6" width="32.43" style="1" customWidth="1"/>
    <col min="7" max="16384" width="10.29" style="1"/>
  </cols>
  <sheetData>
    <row r="1" s="1" customFormat="1" spans="1:6">
      <c r="A1" s="2"/>
      <c r="B1" s="2"/>
      <c r="C1" s="2"/>
      <c r="D1" s="2"/>
      <c r="E1" s="2"/>
      <c r="F1" s="3"/>
    </row>
    <row r="2" s="1" customFormat="1" ht="22.5" spans="1:6">
      <c r="A2" s="4" t="s">
        <v>32</v>
      </c>
      <c r="B2" s="4"/>
      <c r="C2" s="4"/>
      <c r="D2" s="4"/>
      <c r="E2" s="4"/>
      <c r="F2" s="5"/>
    </row>
    <row r="3" s="1" customFormat="1" ht="24.95" customHeight="1" spans="1:6">
      <c r="A3" s="6"/>
      <c r="B3" s="6"/>
      <c r="C3" s="6"/>
      <c r="D3" s="6"/>
      <c r="E3" s="7"/>
      <c r="F3" s="8"/>
    </row>
    <row r="4" s="1" customFormat="1" ht="24.95" customHeight="1" spans="1:6">
      <c r="A4" s="9"/>
      <c r="B4" s="9"/>
      <c r="C4" s="9"/>
      <c r="D4" s="9"/>
      <c r="E4" s="10" t="s">
        <v>33</v>
      </c>
      <c r="F4" s="11">
        <v>46220</v>
      </c>
    </row>
    <row r="5" s="1" customFormat="1" ht="24.95" customHeight="1" spans="1:6">
      <c r="A5" s="9"/>
      <c r="B5" s="9"/>
      <c r="C5" s="9"/>
      <c r="D5" s="9"/>
      <c r="E5" s="10" t="s">
        <v>34</v>
      </c>
      <c r="F5" s="12" t="s">
        <v>35</v>
      </c>
    </row>
    <row r="6" s="1" customFormat="1" ht="24.95" customHeight="1" spans="1:6">
      <c r="A6" s="6"/>
      <c r="B6" s="6"/>
      <c r="C6" s="6"/>
      <c r="D6" s="6"/>
      <c r="E6" s="7"/>
      <c r="F6" s="8"/>
    </row>
    <row r="7" s="1" customFormat="1" ht="24.95" customHeight="1" spans="1:6">
      <c r="A7" s="13" t="s">
        <v>36</v>
      </c>
      <c r="B7" s="14"/>
      <c r="C7" s="14"/>
      <c r="D7" s="15"/>
      <c r="E7" s="13" t="s">
        <v>37</v>
      </c>
      <c r="F7" s="16"/>
    </row>
    <row r="8" s="1" customFormat="1" ht="24.95" customHeight="1" spans="1:6">
      <c r="A8" s="17" t="s">
        <v>38</v>
      </c>
      <c r="B8" s="17"/>
      <c r="C8" s="17"/>
      <c r="D8" s="17"/>
      <c r="E8" s="17" t="s">
        <v>39</v>
      </c>
      <c r="F8" s="17"/>
    </row>
    <row r="9" s="1" customFormat="1" ht="24.95" customHeight="1" spans="1:6">
      <c r="A9" s="18"/>
      <c r="B9" s="18"/>
      <c r="C9" s="18"/>
      <c r="D9" s="18"/>
      <c r="E9" s="18"/>
      <c r="F9" s="18"/>
    </row>
    <row r="10" s="1" customFormat="1" ht="24.95" customHeight="1" spans="1:6">
      <c r="A10" s="18"/>
      <c r="B10" s="18"/>
      <c r="C10" s="18"/>
      <c r="D10" s="18"/>
      <c r="E10" s="18"/>
      <c r="F10" s="18"/>
    </row>
    <row r="11" s="1" customFormat="1" ht="24.95" customHeight="1" spans="1:6">
      <c r="A11" s="18"/>
      <c r="B11" s="18"/>
      <c r="C11" s="18"/>
      <c r="D11" s="18"/>
      <c r="E11" s="18"/>
      <c r="F11" s="18"/>
    </row>
    <row r="12" s="1" customFormat="1" ht="24.95" customHeight="1" spans="1:6">
      <c r="A12" s="18"/>
      <c r="B12" s="18"/>
      <c r="C12" s="18"/>
      <c r="D12" s="18"/>
      <c r="E12" s="18"/>
      <c r="F12" s="18"/>
    </row>
    <row r="13" s="1" customFormat="1" ht="24.95" customHeight="1" spans="1:6">
      <c r="A13" s="18"/>
      <c r="B13" s="18"/>
      <c r="C13" s="18"/>
      <c r="D13" s="18"/>
      <c r="E13" s="18"/>
      <c r="F13" s="18"/>
    </row>
    <row r="14" s="1" customFormat="1" ht="24.95" customHeight="1" spans="1:6">
      <c r="A14" s="18"/>
      <c r="B14" s="18"/>
      <c r="C14" s="18"/>
      <c r="D14" s="18"/>
      <c r="E14" s="18"/>
      <c r="F14" s="18"/>
    </row>
    <row r="15" s="1" customFormat="1" ht="24.95" customHeight="1" spans="1:6">
      <c r="A15" s="19" t="s">
        <v>40</v>
      </c>
      <c r="B15" s="19"/>
      <c r="C15" s="19" t="s">
        <v>41</v>
      </c>
      <c r="D15" s="19"/>
      <c r="E15" s="19" t="s">
        <v>42</v>
      </c>
      <c r="F15" s="19"/>
    </row>
    <row r="16" s="1" customFormat="1" ht="24.95" customHeight="1" spans="1:6">
      <c r="A16" s="19" t="s">
        <v>8</v>
      </c>
      <c r="B16" s="19"/>
      <c r="C16" s="19" t="s">
        <v>43</v>
      </c>
      <c r="D16" s="19"/>
      <c r="E16" s="18" t="s">
        <v>44</v>
      </c>
      <c r="F16" s="18"/>
    </row>
    <row r="17" s="1" customFormat="1" ht="24.95" customHeight="1" spans="1:6">
      <c r="A17" s="19" t="s">
        <v>45</v>
      </c>
      <c r="B17" s="19"/>
      <c r="C17" s="19" t="s">
        <v>46</v>
      </c>
      <c r="D17" s="19"/>
      <c r="E17" s="18"/>
      <c r="F17" s="18"/>
    </row>
    <row r="18" s="1" customFormat="1" ht="24.95" customHeight="1" spans="1:6">
      <c r="A18" s="19" t="s">
        <v>47</v>
      </c>
      <c r="B18" s="19"/>
      <c r="C18" s="19" t="s">
        <v>43</v>
      </c>
      <c r="D18" s="19"/>
      <c r="E18" s="18"/>
      <c r="F18" s="18"/>
    </row>
    <row r="19" s="1" customFormat="1" ht="24.95" customHeight="1" spans="1:6">
      <c r="A19" s="19" t="s">
        <v>48</v>
      </c>
      <c r="B19" s="19"/>
      <c r="C19" s="19" t="s">
        <v>49</v>
      </c>
      <c r="D19" s="19"/>
      <c r="E19" s="18"/>
      <c r="F19" s="18"/>
    </row>
    <row r="20" s="1" customFormat="1" ht="24.95" customHeight="1" spans="1:6">
      <c r="A20" s="19" t="s">
        <v>50</v>
      </c>
      <c r="B20" s="19"/>
      <c r="C20" s="19" t="s">
        <v>50</v>
      </c>
      <c r="D20" s="19"/>
      <c r="E20" s="18"/>
      <c r="F20" s="18"/>
    </row>
    <row r="21" s="1" customFormat="1" ht="24.95" customHeight="1" spans="1:6">
      <c r="A21" s="20" t="s">
        <v>51</v>
      </c>
      <c r="B21" s="21" t="s">
        <v>52</v>
      </c>
      <c r="C21" s="21" t="s">
        <v>53</v>
      </c>
      <c r="D21" s="21" t="s">
        <v>54</v>
      </c>
      <c r="E21" s="21" t="s">
        <v>55</v>
      </c>
      <c r="F21" s="21" t="s">
        <v>56</v>
      </c>
    </row>
    <row r="22" s="1" customFormat="1" ht="24.95" customHeight="1" spans="1:6">
      <c r="A22" s="22" t="s">
        <v>57</v>
      </c>
      <c r="B22" s="23" t="s">
        <v>25</v>
      </c>
      <c r="C22" s="24">
        <v>10</v>
      </c>
      <c r="D22" s="25">
        <v>2</v>
      </c>
      <c r="E22" s="26">
        <v>2.2</v>
      </c>
      <c r="F22" s="27" t="s">
        <v>58</v>
      </c>
    </row>
    <row r="23" s="1" customFormat="1" ht="24.95" customHeight="1" spans="1:6">
      <c r="A23" s="22" t="s">
        <v>59</v>
      </c>
      <c r="B23" s="23" t="s">
        <v>25</v>
      </c>
      <c r="C23" s="24">
        <v>2</v>
      </c>
      <c r="D23" s="25">
        <v>5.3</v>
      </c>
      <c r="E23" s="26">
        <v>5.8</v>
      </c>
      <c r="F23" s="27" t="s">
        <v>60</v>
      </c>
    </row>
    <row r="24" s="1" customFormat="1" ht="24.95" customHeight="1" spans="1:6">
      <c r="A24" s="22" t="s">
        <v>61</v>
      </c>
      <c r="B24" s="23" t="s">
        <v>25</v>
      </c>
      <c r="C24" s="24">
        <v>2</v>
      </c>
      <c r="D24" s="25">
        <v>5.2</v>
      </c>
      <c r="E24" s="26">
        <v>6</v>
      </c>
      <c r="F24" s="27" t="s">
        <v>60</v>
      </c>
    </row>
    <row r="25" s="1" customFormat="1" ht="24.95" customHeight="1" spans="1:6">
      <c r="A25" s="22" t="s">
        <v>62</v>
      </c>
      <c r="B25" s="23" t="s">
        <v>25</v>
      </c>
      <c r="C25" s="24">
        <v>4</v>
      </c>
      <c r="D25" s="25">
        <v>8.1</v>
      </c>
      <c r="E25" s="26">
        <v>9</v>
      </c>
      <c r="F25" s="27" t="s">
        <v>63</v>
      </c>
    </row>
    <row r="26" s="1" customFormat="1" ht="24.95" customHeight="1" spans="1:6">
      <c r="A26" s="28" t="s">
        <v>64</v>
      </c>
      <c r="B26" s="29"/>
      <c r="C26" s="24">
        <f>SUM(C22:C25)</f>
        <v>18</v>
      </c>
      <c r="D26" s="26">
        <f>SUM(D22:D25)</f>
        <v>20.6</v>
      </c>
      <c r="E26" s="26">
        <f>SUM(E22:E25)</f>
        <v>23</v>
      </c>
      <c r="F26" s="27"/>
    </row>
    <row r="27" s="1" customFormat="1" ht="24.95" customHeight="1"/>
    <row r="28" s="1" customFormat="1" ht="24.95" customHeight="1"/>
    <row r="29" s="1" customFormat="1" ht="24.95" customHeight="1"/>
    <row r="30" s="1" customFormat="1" ht="24.95" customHeight="1"/>
    <row r="31" s="1" customFormat="1" ht="24.95" customHeight="1"/>
    <row r="32" s="1" customFormat="1" ht="24.95" customHeight="1"/>
    <row r="33" s="1" customFormat="1" ht="24.95" customHeight="1"/>
    <row r="34" s="1" customFormat="1" ht="24.95" customHeight="1"/>
    <row r="35" s="1" customFormat="1" ht="24.95" customHeight="1"/>
    <row r="36" s="1" customFormat="1" ht="24.95" customHeight="1"/>
    <row r="37" s="1" customFormat="1" ht="24.95" customHeight="1"/>
  </sheetData>
  <mergeCells count="19">
    <mergeCell ref="A2:F2"/>
    <mergeCell ref="B7:C7"/>
    <mergeCell ref="A15:B15"/>
    <mergeCell ref="C15:D15"/>
    <mergeCell ref="E15:F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6:B26"/>
    <mergeCell ref="A8:D14"/>
    <mergeCell ref="E8:F14"/>
    <mergeCell ref="E16:F20"/>
  </mergeCells>
  <conditionalFormatting sqref="F5">
    <cfRule type="notContainsErrors" dxfId="1" priority="6">
      <formula>NOT(ISERROR(F5))</formula>
    </cfRule>
  </conditionalFormatting>
  <conditionalFormatting sqref="C22:C25">
    <cfRule type="notContainsErrors" dxfId="1" priority="3">
      <formula>NOT(ISERROR(C22))</formula>
    </cfRule>
  </conditionalFormatting>
  <conditionalFormatting sqref="D22:D25">
    <cfRule type="notContainsErrors" dxfId="1" priority="5">
      <formula>NOT(ISERROR(D22))</formula>
    </cfRule>
  </conditionalFormatting>
  <conditionalFormatting sqref="E22:E25">
    <cfRule type="notContainsErrors" dxfId="1" priority="2">
      <formula>NOT(ISERROR(E22))</formula>
    </cfRule>
  </conditionalFormatting>
  <conditionalFormatting sqref="F22:F26">
    <cfRule type="notContainsErrors" dxfId="1" priority="1">
      <formula>NOT(ISERROR(F22))</formula>
    </cfRule>
  </conditionalFormatting>
  <conditionalFormatting sqref="$A1:$XFD4 A5:E5 G5:XFD5 $A6:$XFD21 A22:B22 G22:XFD22 A23:B25 G23:XFD25 $A26:$XFD1048576">
    <cfRule type="notContainsErrors" dxfId="1" priority="7">
      <formula>NOT(ISERROR(A1))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</vt:lpstr>
      <vt:lpstr>PACKING LIST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mx9081</dc:creator>
  <cp:lastModifiedBy>濯</cp:lastModifiedBy>
  <dcterms:created xsi:type="dcterms:W3CDTF">2023-12-11T07:48:00Z</dcterms:created>
  <dcterms:modified xsi:type="dcterms:W3CDTF">2026-07-17T05:02:35Z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34AA9DF8AE734CE1A0248DD04AEA10E3_13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